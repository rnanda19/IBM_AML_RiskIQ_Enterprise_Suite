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Variant Summary" sheetId="3" state="visible" r:id="rId3"/>
    <sheet xmlns:r="http://schemas.openxmlformats.org/officeDocument/2006/relationships" name="Before-After LI-Medium" sheetId="4" state="visible" r:id="rId4"/>
    <sheet xmlns:r="http://schemas.openxmlformats.org/officeDocument/2006/relationships" name="Recall LI-Medium" sheetId="5" state="visible" r:id="rId5"/>
  </sheets>
  <definedNames>
    <definedName name="hours_per_case_manual_typology_review">'Assumptions'!$B$2</definedName>
    <definedName name="cost_per_investigator_hour_usd">'Assumptions'!$B$3</definedName>
    <definedName name="illustrative_typology_confirmation_value_usd">'Assumptions'!$B$4</definedName>
    <definedName name="_xlnm._FilterDatabase" localSheetId="2" hidden="1">'Variant Summary'!$A$1:$J$2</definedName>
    <definedName name="_xlnm._FilterDatabase" localSheetId="3" hidden="1">'Before-After LI-Medium'!$A$1:$D$5</definedName>
    <definedName name="_xlnm._FilterDatabase" localSheetId="4" hidden="1">'Recall LI-Medium'!$A$1:$G$6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</font>
    <font>
      <b val="1"/>
      <i val="1"/>
      <color rgb="0052514E"/>
    </font>
    <font>
      <i val="1"/>
      <color rgb="0052514E"/>
    </font>
  </fonts>
  <fills count="6">
    <fill>
      <patternFill/>
    </fill>
    <fill>
      <patternFill patternType="gray125"/>
    </fill>
    <fill>
      <patternFill patternType="solid">
        <fgColor rgb="002A78D6"/>
        <bgColor rgb="002A78D6"/>
      </patternFill>
    </fill>
    <fill>
      <patternFill patternType="solid">
        <fgColor rgb="00FFFF00"/>
        <bgColor rgb="00FFFF00"/>
      </patternFill>
    </fill>
    <fill>
      <patternFill patternType="solid">
        <fgColor rgb="000CA30C"/>
        <bgColor rgb="000CA30C"/>
      </patternFill>
    </fill>
    <fill>
      <patternFill patternType="solid">
        <fgColor rgb="00EEF4FC"/>
        <b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98781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Hours per case, manual typology review (ASSUMPTION)</t>
        </is>
      </c>
      <c r="B2" s="2" t="n">
        <v>0.2</v>
      </c>
    </row>
    <row r="3">
      <c r="A3" t="inlineStr">
        <is>
          <t>Cost per investigator hour, USD (ASSUMPTION)</t>
        </is>
      </c>
      <c r="B3" s="3" t="n">
        <v>65</v>
      </c>
    </row>
    <row r="4">
      <c r="A4" t="inlineStr">
        <is>
          <t>Illustrative typology-confirmation value per case, USD (ASSUMPTION)</t>
        </is>
      </c>
      <c r="B4" s="3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CA30C"/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  <col width="26" customWidth="1" min="3" max="3"/>
  </cols>
  <sheetData>
    <row r="1">
      <c r="A1" s="1" t="inlineStr">
        <is>
          <t>Status</t>
        </is>
      </c>
      <c r="B1" s="1" t="inlineStr">
        <is>
          <t>Rationale</t>
        </is>
      </c>
    </row>
    <row r="2" ht="60" customHeight="1">
      <c r="A2" s="4" t="inlineStr">
        <is>
          <t>RECOMMENDED FOR PRODUCTION</t>
        </is>
      </c>
      <c r="B2" s="5" t="inlineStr">
        <is>
          <t>Both the structural and statistical-robustness validation gates passed on every real dataset variant evaluated (LI-Medium).</t>
        </is>
      </c>
    </row>
    <row r="4">
      <c r="A4" s="6" t="inlineStr">
        <is>
          <t>Financial Impact Summary (primary variant: LI-Medium, live formulas)</t>
        </is>
      </c>
      <c r="C4" s="7" t="inlineStr">
        <is>
          <t>Formatted (with B/M shorthand)</t>
        </is>
      </c>
    </row>
    <row r="5">
      <c r="A5" t="inlineStr">
        <is>
          <t>Auto-typing efficiency $ savings (ASSUMPTION)</t>
        </is>
      </c>
      <c r="B5" s="8">
        <f>'Before-After LI-Medium'!B9</f>
        <v/>
      </c>
      <c r="C5">
        <f>IF(ABS(B5)&gt;=1000000000,TEXT(B5/1000000000,"$0.00")&amp;"B",IF(ABS(B5)&gt;=1000000,TEXT(B5/1000000,"$0.00")&amp;"M",TEXT(B5,"$#,##0")))</f>
        <v/>
      </c>
    </row>
    <row r="6">
      <c r="A6" t="inlineStr">
        <is>
          <t>Illustrative typology-confirmation $ value (ASSUMPTION)</t>
        </is>
      </c>
      <c r="B6" s="8">
        <f>'Before-After LI-Medium'!B10</f>
        <v/>
      </c>
      <c r="C6">
        <f>IF(ABS(B6)&gt;=1000000000,TEXT(B6/1000000000,"$0.00")&amp;"B",IF(ABS(B6)&gt;=1000000,TEXT(B6/1000000,"$0.00")&amp;"M",TEXT(B6,"$#,##0")))</f>
        <v/>
      </c>
    </row>
    <row r="7">
      <c r="A7" s="9" t="inlineStr">
        <is>
          <t>Note: the two figures above apply different ASSUMPTIONS to different real case subsets and are never summed (Section 7A discipline).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Variant</t>
        </is>
      </c>
      <c r="B1" s="1" t="inlineStr">
        <is>
          <t>Champion</t>
        </is>
      </c>
      <c r="C1" s="1" t="inlineStr">
        <is>
          <t>Test Macro-F1</t>
        </is>
      </c>
      <c r="D1" s="1" t="inlineStr">
        <is>
          <t>Before Macro-F1</t>
        </is>
      </c>
      <c r="E1" s="1" t="inlineStr">
        <is>
          <t>Lift (x)</t>
        </is>
      </c>
      <c r="F1" s="1" t="inlineStr">
        <is>
          <t>Overall Accuracy</t>
        </is>
      </c>
      <c r="G1" s="1" t="inlineStr">
        <is>
          <t>Real Typologies Matched</t>
        </is>
      </c>
      <c r="H1" s="1" t="inlineStr">
        <is>
          <t>Gate 1</t>
        </is>
      </c>
      <c r="I1" s="1" t="inlineStr">
        <is>
          <t>Gate 2</t>
        </is>
      </c>
      <c r="J1" s="1" t="inlineStr">
        <is>
          <t>Overall Verdict</t>
        </is>
      </c>
    </row>
    <row r="2">
      <c r="A2" t="inlineStr">
        <is>
          <t>LI-Medium</t>
        </is>
      </c>
      <c r="B2" t="inlineStr">
        <is>
          <t>RandomForest</t>
        </is>
      </c>
      <c r="C2" t="n">
        <v>0.4439936784536049</v>
      </c>
      <c r="D2" t="n">
        <v>0.08119551681195517</v>
      </c>
      <c r="E2">
        <f>C2/D2</f>
        <v/>
      </c>
      <c r="F2" t="n">
        <v>0.4645833333333333</v>
      </c>
      <c r="G2" t="n">
        <v>5</v>
      </c>
      <c r="H2" s="10" t="inlineStr">
        <is>
          <t>PASS</t>
        </is>
      </c>
      <c r="I2" s="10" t="inlineStr">
        <is>
          <t>PASS</t>
        </is>
      </c>
      <c r="J2" s="10" t="inlineStr">
        <is>
          <t>PASS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AF7A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6" customWidth="1" min="3" max="3"/>
    <col width="22" customWidth="1" min="4" max="4"/>
  </cols>
  <sheetData>
    <row r="1">
      <c r="A1" s="1" t="inlineStr">
        <is>
          <t>Metric</t>
        </is>
      </c>
      <c r="B1" s="1" t="inlineStr">
        <is>
          <t>Before (baseline)</t>
        </is>
      </c>
      <c r="C1" s="1" t="inlineStr">
        <is>
          <t>After (ML model)</t>
        </is>
      </c>
      <c r="D1" s="1" t="inlineStr">
        <is>
          <t>Delta</t>
        </is>
      </c>
    </row>
    <row r="2">
      <c r="A2" t="inlineStr">
        <is>
          <t>Macro-F1</t>
        </is>
      </c>
      <c r="B2" t="n">
        <v>0.08119551681195517</v>
      </c>
      <c r="C2" t="n">
        <v>0.4439936784536049</v>
      </c>
      <c r="D2">
        <f>C2-B2</f>
        <v/>
      </c>
    </row>
    <row r="3">
      <c r="A3" s="11" t="inlineStr">
        <is>
          <t>Overall accuracy</t>
        </is>
      </c>
      <c r="B3" s="11" t="n">
        <v>0.2541666666666667</v>
      </c>
      <c r="C3" s="11" t="n">
        <v>0.4645833333333333</v>
      </c>
      <c r="D3" s="11">
        <f>C3-B3</f>
        <v/>
      </c>
    </row>
    <row r="4">
      <c r="A4" t="inlineStr">
        <is>
          <t>Cases correctly auto-typed</t>
        </is>
      </c>
      <c r="B4" t="n">
        <v>122</v>
      </c>
      <c r="C4" t="n">
        <v>223</v>
      </c>
      <c r="D4">
        <f>C4-B4</f>
        <v/>
      </c>
    </row>
    <row r="5">
      <c r="A5" s="11" t="inlineStr">
        <is>
          <t>Net-new typology detections</t>
        </is>
      </c>
      <c r="B5" s="11" t="n">
        <v>0</v>
      </c>
      <c r="C5" s="11" t="n">
        <v>138</v>
      </c>
      <c r="D5" s="11">
        <f>C5-B5</f>
        <v/>
      </c>
    </row>
    <row r="7">
      <c r="C7" s="9" t="inlineStr">
        <is>
          <t>Formatted (with B/M shorthand)</t>
        </is>
      </c>
    </row>
    <row r="9">
      <c r="A9" t="inlineStr">
        <is>
          <t>Auto-typing efficiency $ savings (ASSUMPTION, live formula)</t>
        </is>
      </c>
      <c r="B9" s="8">
        <f>D4*hours_per_case_manual_typology_review*cost_per_investigator_hour_usd</f>
        <v/>
      </c>
      <c r="C9">
        <f>IF(ABS(B9)&gt;=1000000000,TEXT(B9/1000000000,"$0.00")&amp;"B",IF(ABS(B9)&gt;=1000000,TEXT(B9/1000000,"$0.00")&amp;"M",TEXT(B9,"$#,##0")))</f>
        <v/>
      </c>
    </row>
    <row r="10">
      <c r="A10" t="inlineStr">
        <is>
          <t>Illustrative typology-confirmation $ value (ASSUMPTION, live formula)</t>
        </is>
      </c>
      <c r="B10" s="8">
        <f>D5*illustrative_typology_confirmation_value_usd</f>
        <v/>
      </c>
      <c r="C10">
        <f>IF(ABS(B10)&gt;=1000000000,TEXT(B10/1000000000,"$0.00")&amp;"B",IF(ABS(B10)&gt;=1000000,TEXT(B10/1000000,"$0.00")&amp;"M",TEXT(B10,"$#,##0")))</f>
        <v/>
      </c>
    </row>
    <row r="12">
      <c r="A12" t="inlineStr">
        <is>
          <t>Note: the two $ lines above apply different ASSUMPTIONS to different real case subsets and are never summed (Section 7A discipline).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B6834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Typology</t>
        </is>
      </c>
      <c r="B1" s="1" t="inlineStr">
        <is>
          <t>Before Recall</t>
        </is>
      </c>
      <c r="C1" s="1" t="inlineStr">
        <is>
          <t>After Recall</t>
        </is>
      </c>
      <c r="D1" s="1" t="inlineStr">
        <is>
          <t>Delta Recall</t>
        </is>
      </c>
      <c r="E1" s="1" t="inlineStr">
        <is>
          <t>Real Test Support (n)</t>
        </is>
      </c>
      <c r="F1" s="1" t="inlineStr">
        <is>
          <t>Cases Correctly Typed, Before</t>
        </is>
      </c>
      <c r="G1" s="1" t="inlineStr">
        <is>
          <t>Cases Correctly Typed, After</t>
        </is>
      </c>
    </row>
    <row r="2">
      <c r="A2" t="inlineStr">
        <is>
          <t>CYCLE</t>
        </is>
      </c>
      <c r="B2" t="inlineStr">
        <is>
          <t>0.0000</t>
        </is>
      </c>
      <c r="C2" t="inlineStr">
        <is>
          <t>0.3380</t>
        </is>
      </c>
      <c r="D2" t="inlineStr">
        <is>
          <t>+0.3380</t>
        </is>
      </c>
      <c r="E2" t="n">
        <v>71</v>
      </c>
      <c r="F2" t="n">
        <v>0</v>
      </c>
      <c r="G2" t="n">
        <v>24</v>
      </c>
    </row>
    <row r="3">
      <c r="A3" s="11" t="inlineStr">
        <is>
          <t>FAN-IN</t>
        </is>
      </c>
      <c r="B3" s="11" t="inlineStr">
        <is>
          <t>0.0000</t>
        </is>
      </c>
      <c r="C3" s="11" t="inlineStr">
        <is>
          <t>0.5610</t>
        </is>
      </c>
      <c r="D3" s="11" t="inlineStr">
        <is>
          <t>+0.5610</t>
        </is>
      </c>
      <c r="E3" s="11" t="n">
        <v>82</v>
      </c>
      <c r="F3" s="11" t="n">
        <v>0</v>
      </c>
      <c r="G3" s="11" t="n">
        <v>46</v>
      </c>
    </row>
    <row r="4">
      <c r="A4" t="inlineStr">
        <is>
          <t>FAN-OUT</t>
        </is>
      </c>
      <c r="B4" t="inlineStr">
        <is>
          <t>1.0000</t>
        </is>
      </c>
      <c r="C4" t="inlineStr">
        <is>
          <t>0.6967</t>
        </is>
      </c>
      <c r="D4" t="inlineStr">
        <is>
          <t>-0.3033</t>
        </is>
      </c>
      <c r="E4" t="n">
        <v>122</v>
      </c>
      <c r="F4" t="n">
        <v>122</v>
      </c>
      <c r="G4" t="n">
        <v>85</v>
      </c>
    </row>
    <row r="5">
      <c r="A5" s="11" t="inlineStr">
        <is>
          <t>GATHER-SCATTER</t>
        </is>
      </c>
      <c r="B5" s="11" t="inlineStr">
        <is>
          <t>0.0000</t>
        </is>
      </c>
      <c r="C5" s="11" t="inlineStr">
        <is>
          <t>0.2667</t>
        </is>
      </c>
      <c r="D5" s="11" t="inlineStr">
        <is>
          <t>+0.2667</t>
        </is>
      </c>
      <c r="E5" s="11" t="n">
        <v>135</v>
      </c>
      <c r="F5" s="11" t="n">
        <v>0</v>
      </c>
      <c r="G5" s="11" t="n">
        <v>36</v>
      </c>
    </row>
    <row r="6">
      <c r="A6" t="inlineStr">
        <is>
          <t>RANDOM</t>
        </is>
      </c>
      <c r="B6" t="inlineStr">
        <is>
          <t>0.0000</t>
        </is>
      </c>
      <c r="C6" t="inlineStr">
        <is>
          <t>0.4571</t>
        </is>
      </c>
      <c r="D6" t="inlineStr">
        <is>
          <t>+0.4571</t>
        </is>
      </c>
      <c r="E6" t="n">
        <v>70</v>
      </c>
      <c r="F6" t="n">
        <v>0</v>
      </c>
      <c r="G6" t="n">
        <v>32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2026-10-01T08:27:24Z</dcterms:created>
  <dcterms:modified xmlns:dcterms="http://purl.org/dc/terms/" xmlns:xsi="http://www.w3.org/2001/XMLSchema-instance" xsi:type="dcterms:W3CDTF">2026-10-01T08:27:24Z</dcterms:modified>
</cp:coreProperties>
</file>