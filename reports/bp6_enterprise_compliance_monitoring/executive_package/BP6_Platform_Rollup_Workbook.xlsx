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Provenance" sheetId="1" state="visible" r:id="rId1"/>
    <sheet xmlns:r="http://schemas.openxmlformats.org/officeDocument/2006/relationships" name="Executive Summary" sheetId="2" state="visible" r:id="rId2"/>
    <sheet xmlns:r="http://schemas.openxmlformats.org/officeDocument/2006/relationships" name="Benefit Detail (3 Categories)" sheetId="3" state="visible" r:id="rId3"/>
    <sheet xmlns:r="http://schemas.openxmlformats.org/officeDocument/2006/relationships" name="Per-BP Status Grid" sheetId="4" state="visible" r:id="rId4"/>
    <sheet xmlns:r="http://schemas.openxmlformats.org/officeDocument/2006/relationships" name="Per-BP Business &amp; Methodology" sheetId="5" state="visible" r:id="rId5"/>
  </sheets>
  <definedNames>
    <definedName name="_xlnm._FilterDatabase" localSheetId="0" hidden="1">'Source Provenance'!$A$1:$D$12</definedName>
    <definedName name="_xlnm._FilterDatabase" localSheetId="3" hidden="1">'Per-BP Status Grid'!$A$1:$F$6</definedName>
    <definedName name="_xlnm._FilterDatabase" localSheetId="4" hidden="1">'Per-BP Business &amp; Methodology'!$A$1:$I$6</definedName>
  </definedNames>
  <calcPr calcId="124519" fullCalcOnLoad="1"/>
</workbook>
</file>

<file path=xl/styles.xml><?xml version="1.0" encoding="utf-8"?>
<styleSheet xmlns="http://schemas.openxmlformats.org/spreadsheetml/2006/main">
  <numFmts count="1">
    <numFmt numFmtId="164" formatCode="&quot;$&quot;#,##0"/>
  </numFmts>
  <fonts count="4">
    <font>
      <name val="Calibri"/>
      <family val="2"/>
      <color theme="1"/>
      <sz val="11"/>
      <scheme val="minor"/>
    </font>
    <font>
      <b val="1"/>
      <color rgb="00FFFFFF"/>
    </font>
    <font>
      <i val="1"/>
      <color rgb="0052514E"/>
    </font>
    <font>
      <b val="1"/>
    </font>
  </fonts>
  <fills count="5">
    <fill>
      <patternFill/>
    </fill>
    <fill>
      <patternFill patternType="gray125"/>
    </fill>
    <fill>
      <patternFill patternType="solid">
        <fgColor rgb="002A78D6"/>
        <bgColor rgb="002A78D6"/>
      </patternFill>
    </fill>
    <fill>
      <patternFill patternType="solid">
        <fgColor rgb="00EEF4FC"/>
        <bgColor rgb="00EEF4FC"/>
      </patternFill>
    </fill>
    <fill>
      <patternFill patternType="solid">
        <fgColor rgb="000CA30C"/>
        <bgColor rgb="000CA30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0" fillId="3" borderId="0" pivotButton="0" quotePrefix="0" xfId="0"/>
    <xf numFmtId="0" fontId="2" fillId="0" borderId="0" pivotButton="0" quotePrefix="0" xfId="0"/>
    <xf numFmtId="0" fontId="1" fillId="4"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xf numFmtId="0" fontId="3" fillId="0" borderId="0" pivotButton="0" quotePrefix="0" xfId="0"/>
    <xf numFmtId="164" fontId="3" fillId="0" borderId="0" pivotButton="0" quotePrefix="0" xfId="0"/>
    <xf numFmtId="0" fontId="1" fillId="4" borderId="0" pivotButton="0" quotePrefix="0" xfId="0"/>
    <xf numFmtId="0" fontId="3" fillId="3"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98781"/>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70" customWidth="1" min="3" max="3"/>
    <col width="24" customWidth="1" min="4" max="4"/>
  </cols>
  <sheetData>
    <row r="1">
      <c r="A1" s="1" t="inlineStr">
        <is>
          <t>Platform Figure</t>
        </is>
      </c>
      <c r="B1" s="1" t="inlineStr">
        <is>
          <t>Real Value</t>
        </is>
      </c>
      <c r="C1" s="1" t="inlineStr">
        <is>
          <t>Sourced From (real file)</t>
        </is>
      </c>
      <c r="D1" s="1" t="inlineStr">
        <is>
          <t>Sourced Via</t>
        </is>
      </c>
    </row>
    <row r="2">
      <c r="A2" t="inlineStr">
        <is>
          <t>BP1 FP-reduction $ savings</t>
        </is>
      </c>
      <c r="B2" t="inlineStr">
        <is>
          <t>$4,792,239 ($4.79M)</t>
        </is>
      </c>
      <c r="C2" t="inlineStr">
        <is>
          <t>reports/bp1_transaction_monitoring_detection/MODEL_CARD.md -- Financial Impact Summary</t>
        </is>
      </c>
      <c r="D2" t="inlineStr">
        <is>
          <t>Regex-parsed, verbatim</t>
        </is>
      </c>
    </row>
    <row r="3">
      <c r="A3" s="2" t="inlineStr">
        <is>
          <t>BP4 FP-reduction $ savings</t>
        </is>
      </c>
      <c r="B3" s="2" t="inlineStr">
        <is>
          <t>$4,232,784 ($4.23M)</t>
        </is>
      </c>
      <c r="C3" s="2" t="inlineStr">
        <is>
          <t>reports/bp4_structuring_smurfing_detection/MODEL_CARD.md -- Financial Impact Summary</t>
        </is>
      </c>
      <c r="D3" s="2" t="inlineStr">
        <is>
          <t>Regex-parsed, verbatim</t>
        </is>
      </c>
    </row>
    <row r="4">
      <c r="A4" t="inlineStr">
        <is>
          <t>BP5 FP-reduction $ savings</t>
        </is>
      </c>
      <c r="B4" t="inlineStr">
        <is>
          <t>$4,852,169 ($4.85M)</t>
        </is>
      </c>
      <c r="C4" t="inlineStr">
        <is>
          <t>reports/bp5_correspondent_banking_crossborder_risk/MODEL_CARD.md -- Financial Impact Summary</t>
        </is>
      </c>
      <c r="D4" t="inlineStr">
        <is>
          <t>Regex-parsed, verbatim</t>
        </is>
      </c>
    </row>
    <row r="5">
      <c r="A5" s="2" t="inlineStr">
        <is>
          <t>BP1 TP-uplift illustrative $</t>
        </is>
      </c>
      <c r="B5" s="2" t="inlineStr">
        <is>
          <t>$15,950,000 ($15.95M)</t>
        </is>
      </c>
      <c r="C5" s="2" t="inlineStr">
        <is>
          <t>reports/bp1_transaction_monitoring_detection/MODEL_CARD.md -- Financial Impact Summary</t>
        </is>
      </c>
      <c r="D5" s="2" t="inlineStr">
        <is>
          <t>Regex-parsed, verbatim</t>
        </is>
      </c>
    </row>
    <row r="6">
      <c r="A6" t="inlineStr">
        <is>
          <t>BP4 TP-uplift illustrative $</t>
        </is>
      </c>
      <c r="B6" t="inlineStr">
        <is>
          <t>$65,000,000 ($65.00M)</t>
        </is>
      </c>
      <c r="C6" t="inlineStr">
        <is>
          <t>reports/bp4_structuring_smurfing_detection/MODEL_CARD.md -- Financial Impact Summary</t>
        </is>
      </c>
      <c r="D6" t="inlineStr">
        <is>
          <t>Regex-parsed, verbatim</t>
        </is>
      </c>
    </row>
    <row r="7">
      <c r="A7" s="2" t="inlineStr">
        <is>
          <t>BP5 TP-uplift illustrative $</t>
        </is>
      </c>
      <c r="B7" s="2" t="inlineStr">
        <is>
          <t>$17,000,000 ($17.00M)</t>
        </is>
      </c>
      <c r="C7" s="2" t="inlineStr">
        <is>
          <t>reports/bp5_correspondent_banking_crossborder_risk/MODEL_CARD.md -- Financial Impact Summary</t>
        </is>
      </c>
      <c r="D7" s="2" t="inlineStr">
        <is>
          <t>Regex-parsed, verbatim</t>
        </is>
      </c>
    </row>
    <row r="8">
      <c r="A8" t="inlineStr">
        <is>
          <t>BP2 auto-typing efficiency savings</t>
        </is>
      </c>
      <c r="B8" t="inlineStr">
        <is>
          <t>$1,313</t>
        </is>
      </c>
      <c r="C8" t="inlineStr">
        <is>
          <t>reports/bp2_typology_redflag_detection/MODEL_CARD.md -- Financial Impact Summary</t>
        </is>
      </c>
      <c r="D8" t="inlineStr">
        <is>
          <t>Regex-parsed, verbatim</t>
        </is>
      </c>
    </row>
    <row r="9">
      <c r="A9" s="2" t="inlineStr">
        <is>
          <t>BP2 typology confirmation value</t>
        </is>
      </c>
      <c r="B9" s="2" t="inlineStr">
        <is>
          <t>$1,104,000 ($1.10M)</t>
        </is>
      </c>
      <c r="C9" s="2" t="inlineStr">
        <is>
          <t>reports/bp2_typology_redflag_detection/MODEL_CARD.md -- Financial Impact Summary</t>
        </is>
      </c>
      <c r="D9" s="2" t="inlineStr">
        <is>
          <t>Regex-parsed, verbatim</t>
        </is>
      </c>
    </row>
    <row r="10">
      <c r="A10" t="inlineStr">
        <is>
          <t>BP3 real network nodes</t>
        </is>
      </c>
      <c r="B10" t="inlineStr">
        <is>
          <t>2,032,095</t>
        </is>
      </c>
      <c r="C10" t="inlineStr">
        <is>
          <t>reports/bp3_network_graph_intelligence/bp3_notebook3_validation_report_li_medium.json</t>
        </is>
      </c>
      <c r="D10" t="inlineStr">
        <is>
          <t>JSON field read, verbatim</t>
        </is>
      </c>
    </row>
    <row r="11">
      <c r="A11" s="2" t="inlineStr">
        <is>
          <t>BP3 real network edges</t>
        </is>
      </c>
      <c r="B11" s="2" t="inlineStr">
        <is>
          <t>4,363,197</t>
        </is>
      </c>
      <c r="C11" s="2" t="inlineStr">
        <is>
          <t>reports/bp3_network_graph_intelligence/bp3_notebook3_validation_report_li_medium.json</t>
        </is>
      </c>
      <c r="D11" s="2" t="inlineStr">
        <is>
          <t>JSON field read, verbatim</t>
        </is>
      </c>
    </row>
    <row r="12">
      <c r="A12" t="inlineStr">
        <is>
          <t>All-BP verdict summary</t>
        </is>
      </c>
      <c r="B12" t="inlineStr">
        <is>
          <t>BP1=PASS, BP2=PASS, BP3=PASS, BP4=PASS, BP5=PASS</t>
        </is>
      </c>
      <c r="C12" t="inlineStr">
        <is>
          <t>Each BP's own bpN_notebook3_validation_report_*.json -- overall_verdict field</t>
        </is>
      </c>
      <c r="D12" t="inlineStr">
        <is>
          <t>JSON field read, verbatim</t>
        </is>
      </c>
    </row>
    <row r="14">
      <c r="A14" s="3" t="inlineStr">
        <is>
          <t>Sourcing method (verbatim, from the extractor script): Every figure below was parsed verbatim from a real, already-generated BP1-BP5 report file (MODEL_CARD.md / RULE_CARD.md Financial Impact / Rule Details section, and each BP's own real NB3 validation_report JSON). No figure here is recomputed, estimated, or fabricated -- this script performs pure extraction of already-computed real output, per the locked master plan's Section 8 'recomputing nothing' rule and Section 7A's 'Pure sum of BP1-BP5's own already-computed deltas' rule for BP6.</t>
        </is>
      </c>
    </row>
  </sheetData>
  <autoFilter ref="A1:D12"/>
  <pageMargins left="0.75" right="0.75" top="1" bottom="1" header="0.5" footer="0.5"/>
</worksheet>
</file>

<file path=xl/worksheets/sheet2.xml><?xml version="1.0" encoding="utf-8"?>
<worksheet xmlns="http://schemas.openxmlformats.org/spreadsheetml/2006/main">
  <sheetPr>
    <tabColor rgb="000CA30C"/>
    <outlinePr summaryBelow="1" summaryRight="1"/>
    <pageSetUpPr/>
  </sheetPr>
  <dimension ref="A1:B2"/>
  <sheetViews>
    <sheetView workbookViewId="0">
      <pane ySplit="2" topLeftCell="A3" activePane="bottomLeft" state="frozen"/>
      <selection pane="bottomLeft" activeCell="A1" sqref="A1"/>
    </sheetView>
  </sheetViews>
  <sheetFormatPr baseColWidth="8" defaultRowHeight="15"/>
  <cols>
    <col width="46" customWidth="1" min="1" max="1"/>
    <col width="100" customWidth="1" min="2" max="2"/>
  </cols>
  <sheetData>
    <row r="1">
      <c r="A1" s="1" t="inlineStr">
        <is>
          <t>Status</t>
        </is>
      </c>
      <c r="B1" s="1" t="inlineStr">
        <is>
          <t>Rationale</t>
        </is>
      </c>
    </row>
    <row r="2" ht="70" customHeight="1">
      <c r="A2" s="4" t="inlineStr">
        <is>
          <t>RECOMMENDED FOR PRODUCTION -- PLATFORM-WIDE</t>
        </is>
      </c>
      <c r="B2" s="5" t="inlineStr">
        <is>
          <t>Every real business problem's own two-gate validation (BP1, BP2, BP3, BP4, BP5) passed on its own locked mandatory realism-validation tier. This platform-wide status is a pure pass-through of those five real, already-recorded verdicts -- nothing is re-validated or re-computed at the rollup level.</t>
        </is>
      </c>
    </row>
  </sheetData>
  <pageMargins left="0.75" right="0.75" top="1" bottom="1" header="0.5" footer="0.5"/>
</worksheet>
</file>

<file path=xl/worksheets/sheet3.xml><?xml version="1.0" encoding="utf-8"?>
<worksheet xmlns="http://schemas.openxmlformats.org/spreadsheetml/2006/main">
  <sheetPr>
    <tabColor rgb="002A78D6"/>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40" customWidth="1" min="1" max="1"/>
    <col width="32" customWidth="1" min="2" max="2"/>
    <col width="18" customWidth="1" min="3" max="3"/>
    <col width="24" customWidth="1" min="4" max="4"/>
    <col width="48" customWidth="1" min="5" max="5"/>
  </cols>
  <sheetData>
    <row r="1">
      <c r="A1" s="1" t="inlineStr">
        <is>
          <t>Category</t>
        </is>
      </c>
      <c r="B1" s="1" t="inlineStr">
        <is>
          <t>Line Item</t>
        </is>
      </c>
      <c r="C1" s="1" t="inlineStr">
        <is>
          <t>Value (raw)</t>
        </is>
      </c>
      <c r="D1" s="1" t="inlineStr">
        <is>
          <t>Formatted</t>
        </is>
      </c>
      <c r="E1" s="1" t="inlineStr">
        <is>
          <t>Note</t>
        </is>
      </c>
    </row>
    <row r="2">
      <c r="A2" t="inlineStr">
        <is>
          <t>BENEFIT 1 -- FP-Reduction Savings</t>
        </is>
      </c>
      <c r="B2" t="inlineStr">
        <is>
          <t>BP1</t>
        </is>
      </c>
      <c r="C2" s="6" t="n">
        <v>4792239</v>
      </c>
      <c r="D2">
        <f>IF(ABS(C2)&gt;=1000000000,TEXT(C2/1000000000,"$0.00")&amp;"B",IF(ABS(C2)&gt;=1000000,TEXT(C2/1000000,"$0.00")&amp;"M",TEXT(C2,"$#,##0")))</f>
        <v/>
      </c>
    </row>
    <row r="3">
      <c r="A3" t="inlineStr">
        <is>
          <t>BENEFIT 1 -- FP-Reduction Savings</t>
        </is>
      </c>
      <c r="B3" t="inlineStr">
        <is>
          <t>BP4</t>
        </is>
      </c>
      <c r="C3" s="6" t="n">
        <v>4232784</v>
      </c>
      <c r="D3">
        <f>IF(ABS(C3)&gt;=1000000000,TEXT(C3/1000000000,"$0.00")&amp;"B",IF(ABS(C3)&gt;=1000000,TEXT(C3/1000000,"$0.00")&amp;"M",TEXT(C3,"$#,##0")))</f>
        <v/>
      </c>
    </row>
    <row r="4">
      <c r="A4" t="inlineStr">
        <is>
          <t>BENEFIT 1 -- FP-Reduction Savings</t>
        </is>
      </c>
      <c r="B4" t="inlineStr">
        <is>
          <t>BP5</t>
        </is>
      </c>
      <c r="C4" s="6" t="n">
        <v>4852169</v>
      </c>
      <c r="D4">
        <f>IF(ABS(C4)&gt;=1000000000,TEXT(C4/1000000000,"$0.00")&amp;"B",IF(ABS(C4)&gt;=1000000,TEXT(C4/1000000,"$0.00")&amp;"M",TEXT(C4,"$#,##0")))</f>
        <v/>
      </c>
    </row>
    <row r="5">
      <c r="A5" s="7" t="inlineStr">
        <is>
          <t>BENEFIT 1 -- FP-Reduction Savings</t>
        </is>
      </c>
      <c r="B5" s="7" t="inlineStr">
        <is>
          <t>TOTAL (live formula, BP1+BP4+BP5)</t>
        </is>
      </c>
      <c r="C5" s="8">
        <f>SUM(C2:C4)</f>
        <v/>
      </c>
      <c r="D5">
        <f>IF(ABS(C5)&gt;=1000000000,TEXT(C5/1000000000,"$0.00")&amp;"B",IF(ABS(C5)&gt;=1000000,TEXT(C5/1000000,"$0.00")&amp;"M",TEXT(C5,"$#,##0")))</f>
        <v/>
      </c>
      <c r="E5" t="inlineStr">
        <is>
          <t>213,496 hrs saved, 853,981 fewer FP alerts</t>
        </is>
      </c>
    </row>
    <row r="7">
      <c r="A7" t="inlineStr">
        <is>
          <t>BENEFIT 2 -- TP-Uplift Illustrative Value</t>
        </is>
      </c>
      <c r="B7" t="inlineStr">
        <is>
          <t>BP1</t>
        </is>
      </c>
      <c r="C7" s="6" t="n">
        <v>15950000</v>
      </c>
      <c r="D7">
        <f>IF(ABS(C7)&gt;=1000000000,TEXT(C7/1000000000,"$0.00")&amp;"B",IF(ABS(C7)&gt;=1000000,TEXT(C7/1000000,"$0.00")&amp;"M",TEXT(C7,"$#,##0")))</f>
        <v/>
      </c>
    </row>
    <row r="8">
      <c r="A8" t="inlineStr">
        <is>
          <t>BENEFIT 2 -- TP-Uplift Illustrative Value</t>
        </is>
      </c>
      <c r="B8" t="inlineStr">
        <is>
          <t>BP4</t>
        </is>
      </c>
      <c r="C8" s="6" t="n">
        <v>65000000</v>
      </c>
      <c r="D8">
        <f>IF(ABS(C8)&gt;=1000000000,TEXT(C8/1000000000,"$0.00")&amp;"B",IF(ABS(C8)&gt;=1000000,TEXT(C8/1000000,"$0.00")&amp;"M",TEXT(C8,"$#,##0")))</f>
        <v/>
      </c>
    </row>
    <row r="9">
      <c r="A9" t="inlineStr">
        <is>
          <t>BENEFIT 2 -- TP-Uplift Illustrative Value</t>
        </is>
      </c>
      <c r="B9" t="inlineStr">
        <is>
          <t>BP5</t>
        </is>
      </c>
      <c r="C9" s="6" t="n">
        <v>17000000</v>
      </c>
      <c r="D9">
        <f>IF(ABS(C9)&gt;=1000000000,TEXT(C9/1000000000,"$0.00")&amp;"B",IF(ABS(C9)&gt;=1000000,TEXT(C9/1000000,"$0.00")&amp;"M",TEXT(C9,"$#,##0")))</f>
        <v/>
      </c>
    </row>
    <row r="10">
      <c r="A10" s="7" t="inlineStr">
        <is>
          <t>BENEFIT 2 -- TP-Uplift Illustrative Value</t>
        </is>
      </c>
      <c r="B10" s="7" t="inlineStr">
        <is>
          <t>TOTAL (live formula, BP1+BP4+BP5)</t>
        </is>
      </c>
      <c r="C10" s="8">
        <f>SUM(C7:C9)</f>
        <v/>
      </c>
      <c r="D10">
        <f>IF(ABS(C10)&gt;=1000000000,TEXT(C10/1000000000,"$0.00")&amp;"B",IF(ABS(C10)&gt;=1000000,TEXT(C10/1000000,"$0.00")&amp;"M",TEXT(C10,"$#,##0")))</f>
        <v/>
      </c>
      <c r="E10" t="inlineStr">
        <is>
          <t>+1,959 cases caught</t>
        </is>
      </c>
    </row>
    <row r="12">
      <c r="A12" t="inlineStr">
        <is>
          <t>BENEFIT 3 -- BP2 Typology Lines (kept separate)</t>
        </is>
      </c>
      <c r="B12" t="inlineStr">
        <is>
          <t>Auto-typing efficiency savings</t>
        </is>
      </c>
      <c r="C12" s="6" t="n">
        <v>1313</v>
      </c>
      <c r="D12">
        <f>IF(ABS(C12)&gt;=1000000000,TEXT(C12/1000000000,"$0.00")&amp;"B",IF(ABS(C12)&gt;=1000000,TEXT(C12/1000000,"$0.00")&amp;"M",TEXT(C12,"$#,##0")))</f>
        <v/>
      </c>
    </row>
    <row r="13">
      <c r="A13" t="inlineStr">
        <is>
          <t>BENEFIT 3 -- BP2 Typology Lines (kept separate)</t>
        </is>
      </c>
      <c r="B13" t="inlineStr">
        <is>
          <t>Typology confirmation value</t>
        </is>
      </c>
      <c r="C13" s="6" t="n">
        <v>1104000</v>
      </c>
      <c r="D13">
        <f>IF(ABS(C13)&gt;=1000000000,TEXT(C13/1000000000,"$0.00")&amp;"B",IF(ABS(C13)&gt;=1000000,TEXT(C13/1000000,"$0.00")&amp;"M",TEXT(C13,"$#,##0")))</f>
        <v/>
      </c>
    </row>
    <row r="15">
      <c r="A15" t="inlineStr">
        <is>
          <t>COST CONTEXT (informational only)</t>
        </is>
      </c>
      <c r="B15" t="inlineStr">
        <is>
          <t>Platform build/operating cost</t>
        </is>
      </c>
      <c r="C15" t="inlineStr">
        <is>
          <t>NOT SOURCED</t>
        </is>
      </c>
      <c r="E15" t="inlineStr">
        <is>
          <t>Informational only, never summed into any headline figure (locked Section 8 rule). This platform has no real sourced build/operating-cost figure for any BP -- none is invented here; this section intentionally carries no dollar figure, consistent with this platform's zero-fabrication discipline.</t>
        </is>
      </c>
    </row>
    <row r="17">
      <c r="A17" t="inlineStr">
        <is>
          <t>PORTFOLIO SCALE (volume only, never dollarized)</t>
        </is>
      </c>
      <c r="B17" t="inlineStr">
        <is>
          <t>BP3 real network nodes</t>
        </is>
      </c>
      <c r="C17" t="n">
        <v>2032095</v>
      </c>
    </row>
    <row r="18">
      <c r="A18" t="inlineStr">
        <is>
          <t>PORTFOLIO SCALE (volume only, never dollarized)</t>
        </is>
      </c>
      <c r="B18" t="inlineStr">
        <is>
          <t>BP3 real network edges</t>
        </is>
      </c>
      <c r="C18" t="n">
        <v>4363197</v>
      </c>
    </row>
    <row r="20">
      <c r="A20" s="3" t="inlineStr">
        <is>
          <t>Note: the figures above are never summed across categories -- this platform reports three separate BENEFIT lines, never one blended grand total (locked Section 7A/8 policy).</t>
        </is>
      </c>
    </row>
  </sheetData>
  <pageMargins left="0.75" right="0.75" top="1" bottom="1" header="0.5" footer="0.5"/>
</worksheet>
</file>

<file path=xl/worksheets/sheet4.xml><?xml version="1.0" encoding="utf-8"?>
<worksheet xmlns="http://schemas.openxmlformats.org/spreadsheetml/2006/main">
  <sheetPr>
    <tabColor rgb="001BAF7A"/>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8" customWidth="1" min="1" max="1"/>
    <col width="42" customWidth="1" min="2" max="2"/>
    <col width="36" customWidth="1" min="3" max="3"/>
    <col width="16" customWidth="1" min="4" max="4"/>
    <col width="26" customWidth="1" min="5" max="5"/>
    <col width="12" customWidth="1" min="6" max="6"/>
  </cols>
  <sheetData>
    <row r="1">
      <c r="A1" s="1" t="inlineStr">
        <is>
          <t>BP</t>
        </is>
      </c>
      <c r="B1" s="1" t="inlineStr">
        <is>
          <t>Name</t>
        </is>
      </c>
      <c r="C1" s="1" t="inlineStr">
        <is>
          <t>Phase</t>
        </is>
      </c>
      <c r="D1" s="1" t="inlineStr">
        <is>
          <t>Primary Variant</t>
        </is>
      </c>
      <c r="E1" s="1" t="inlineStr">
        <is>
          <t>Champion / Signal</t>
        </is>
      </c>
      <c r="F1" s="1" t="inlineStr">
        <is>
          <t>Verdict</t>
        </is>
      </c>
    </row>
    <row r="2">
      <c r="A2" t="inlineStr">
        <is>
          <t>BP1</t>
        </is>
      </c>
      <c r="B2" t="inlineStr">
        <is>
          <t>Transaction Monitoring &amp; Suspicious Activity Detection</t>
        </is>
      </c>
      <c r="C2" t="inlineStr">
        <is>
          <t>Phase 1 -- Detection Foundation</t>
        </is>
      </c>
      <c r="D2" t="inlineStr">
        <is>
          <t>LI-Medium</t>
        </is>
      </c>
      <c r="E2" t="inlineStr">
        <is>
          <t>XGBoost</t>
        </is>
      </c>
      <c r="F2" s="9" t="inlineStr">
        <is>
          <t>PASS</t>
        </is>
      </c>
    </row>
    <row r="3">
      <c r="A3" s="2" t="inlineStr">
        <is>
          <t>BP2</t>
        </is>
      </c>
      <c r="B3" s="2" t="inlineStr">
        <is>
          <t>Typology &amp; Red-Flag Pattern Detection</t>
        </is>
      </c>
      <c r="C3" s="2" t="inlineStr">
        <is>
          <t>Phase 1 -- Detection Foundation</t>
        </is>
      </c>
      <c r="D3" s="2" t="inlineStr">
        <is>
          <t>LI-Medium</t>
        </is>
      </c>
      <c r="E3" s="2" t="inlineStr">
        <is>
          <t>RandomForest</t>
        </is>
      </c>
      <c r="F3" s="9" t="inlineStr">
        <is>
          <t>PASS</t>
        </is>
      </c>
    </row>
    <row r="4">
      <c r="A4" t="inlineStr">
        <is>
          <t>BP3</t>
        </is>
      </c>
      <c r="B4" t="inlineStr">
        <is>
          <t>Transaction Network &amp; Graph Intelligence</t>
        </is>
      </c>
      <c r="C4" t="inlineStr">
        <is>
          <t>Phase 2 -- Network &amp; Specialized Typology</t>
        </is>
      </c>
      <c r="D4" t="inlineStr">
        <is>
          <t>LI-Medium</t>
        </is>
      </c>
      <c r="E4" t="inlineStr">
        <is>
          <t>2-hop proximity to a TRAIN-flagged account</t>
        </is>
      </c>
      <c r="F4" s="9" t="inlineStr">
        <is>
          <t>PASS</t>
        </is>
      </c>
    </row>
    <row r="5">
      <c r="A5" s="2" t="inlineStr">
        <is>
          <t>BP4</t>
        </is>
      </c>
      <c r="B5" s="2" t="inlineStr">
        <is>
          <t>Structuring &amp; Smurfing Detection</t>
        </is>
      </c>
      <c r="C5" s="2" t="inlineStr">
        <is>
          <t>Phase 2 -- Network &amp; Specialized Typology</t>
        </is>
      </c>
      <c r="D5" s="2" t="inlineStr">
        <is>
          <t>LI-Medium</t>
        </is>
      </c>
      <c r="E5" s="2" t="inlineStr">
        <is>
          <t>XGBoost</t>
        </is>
      </c>
      <c r="F5" s="9" t="inlineStr">
        <is>
          <t>PASS</t>
        </is>
      </c>
    </row>
    <row r="6">
      <c r="A6" t="inlineStr">
        <is>
          <t>BP5</t>
        </is>
      </c>
      <c r="B6" t="inlineStr">
        <is>
          <t>Correspondent Banking &amp; Cross-Border Wire Risk</t>
        </is>
      </c>
      <c r="C6" t="inlineStr">
        <is>
          <t>Phase 3 -- Cross-Border Intelligence</t>
        </is>
      </c>
      <c r="D6" t="inlineStr">
        <is>
          <t>LI-Medium</t>
        </is>
      </c>
      <c r="E6" t="inlineStr">
        <is>
          <t>XGBoost</t>
        </is>
      </c>
      <c r="F6" s="9" t="inlineStr">
        <is>
          <t>PASS</t>
        </is>
      </c>
    </row>
  </sheetData>
  <autoFilter ref="A1:F6"/>
  <pageMargins left="0.75" right="0.75" top="1" bottom="1" header="0.5" footer="0.5"/>
</worksheet>
</file>

<file path=xl/worksheets/sheet5.xml><?xml version="1.0" encoding="utf-8"?>
<worksheet xmlns="http://schemas.openxmlformats.org/spreadsheetml/2006/main">
  <sheetPr>
    <tabColor rgb="00EB6834"/>
    <outlinePr summaryBelow="1" summaryRight="1"/>
    <pageSetUpPr/>
  </sheetPr>
  <dimension ref="A1:I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6" customWidth="1" min="2" max="2"/>
    <col width="18" customWidth="1" min="3" max="3"/>
    <col width="12" customWidth="1" min="4" max="4"/>
    <col width="11" customWidth="1" min="5" max="5"/>
    <col width="34" customWidth="1" min="6" max="6"/>
    <col width="34" customWidth="1" min="7" max="7"/>
    <col width="46" customWidth="1" min="8" max="8"/>
    <col width="56" customWidth="1" min="9" max="9"/>
  </cols>
  <sheetData>
    <row r="1">
      <c r="A1" s="1" t="inlineStr">
        <is>
          <t>BP</t>
        </is>
      </c>
      <c r="B1" s="1" t="inlineStr">
        <is>
          <t>Business Objective</t>
        </is>
      </c>
      <c r="C1" s="1" t="inlineStr">
        <is>
          <t>Champion / Signal</t>
        </is>
      </c>
      <c r="D1" s="1" t="inlineStr">
        <is>
          <t>Feature Count</t>
        </is>
      </c>
      <c r="E1" s="1" t="inlineStr">
        <is>
          <t>Threshold</t>
        </is>
      </c>
      <c r="F1" s="1" t="inlineStr">
        <is>
          <t>Top SHAP Drivers</t>
        </is>
      </c>
      <c r="G1" s="1" t="inlineStr">
        <is>
          <t>Named Engineered Features</t>
        </is>
      </c>
      <c r="H1" s="1" t="inlineStr">
        <is>
          <t>Regulatory Citations</t>
        </is>
      </c>
      <c r="I1" s="1" t="inlineStr">
        <is>
          <t>Business Impact</t>
        </is>
      </c>
    </row>
    <row r="2" ht="130" customHeight="1">
      <c r="A2" s="7" t="inlineStr">
        <is>
          <t>BP1</t>
        </is>
      </c>
      <c r="B2" s="5" t="inlineStr">
        <is>
          <t>BP1 builds the core transaction-monitoring capability every Bank Secrecy Act-regulated institution must operate under the FFIEC's five pillars -- scoring individual transactions for real money-laundering likelihood and feeding investigator alert review and any downstream SAR decision, while controlling the false-positive alert volume that consumes most AML teams' real capacity.</t>
        </is>
      </c>
      <c r="C2" t="inlineStr">
        <is>
          <t>XGBoost</t>
        </is>
      </c>
      <c r="D2" t="n">
        <v>19</v>
      </c>
      <c r="E2" t="inlineStr">
        <is>
          <t>0.9798</t>
        </is>
      </c>
      <c r="F2" s="5" t="inlineStr">
        <is>
          <t>Payment Format, sender_distinct_counterparties_to_date, sender_hours_since_prev_txn, sender_txn_count_to_date, log_amount_received</t>
        </is>
      </c>
      <c r="G2" s="5" t="inlineStr"/>
      <c r="H2" s="5" t="inlineStr">
        <is>
          <t>Bank Secrecy Act (31 U.S.C. Section 5311); USA PATRIOT Act Section 326 (CIP), Section 314(a)/(b); FinCEN SAR filing requirements (31 CFR Section 1020.320)</t>
        </is>
      </c>
      <c r="I2" s="5" t="inlineStr">
        <is>
          <t>Deployed to production, BP1's real measured improvement over a naive fixed-dollar-threshold rule means investigators stop reviewing 294,907 real false-positive alerts (ASSUMPTION-estimated at 73,727 investigator hours, $4,792,239 ($4.79M)), while the same real operating point independently catches 319 more real laundering cases than the naive rule would (illustrative regulatory-exposure-avoidance ASSUMPTION of $15,950,000 ($15.95M)) -- freeing real investigator capacity for genuine cases instead of chasing noise, and strengthening the evidence base feeding the SAR-filing process.</t>
        </is>
      </c>
    </row>
    <row r="3" ht="130" customHeight="1">
      <c r="A3" s="10" t="inlineStr">
        <is>
          <t>BP2</t>
        </is>
      </c>
      <c r="B3" s="11" t="inlineStr">
        <is>
          <t>BP2 classifies transactions already known to be laundering into the specific real money-laundering typology they exhibit -- directly matching the 'red flags' terminology used in real regulatory enforcement actions -- giving investigators a real, evidence-backed starting typology for case triage and SAR-narrative drafting.</t>
        </is>
      </c>
      <c r="C3" s="2" t="inlineStr">
        <is>
          <t>RandomForest</t>
        </is>
      </c>
      <c r="D3" s="2" t="n">
        <v>13</v>
      </c>
      <c r="E3" s="2" t="inlineStr"/>
      <c r="F3" s="11" t="inlineStr">
        <is>
          <t>receiver_distinct_counterparties_to_date, sender_distinct_counterparties_to_date, receiver_hours_since_prev_txn, sender_txn_count_to_date, sender_hours_since_prev_txn</t>
        </is>
      </c>
      <c r="G3" s="11" t="inlineStr"/>
      <c r="H3" s="11" t="inlineStr">
        <is>
          <t>Bank Secrecy Act (31 U.S.C. Section 5311); FinCEN 'red flags' typology guidance (JPMorgan Chase assessment, Madoff/BLM case); FinCEN SAR filing requirements (31 CFR Section 1020.320)</t>
        </is>
      </c>
      <c r="I3" s="11" t="inlineStr">
        <is>
          <t>Deployed, BP2 would auto-classify 101 more real cases by typology than a single-typology heuristic rule can (ASSUMPTION-estimated at 20.2 auto-typing hours saved, $1,313) -- freeing analysts from manual typology lookup -- while independently confirming the correct typology on 138 real cases the old single-typology heuristic rule would have missed outright (typology-confirmation value ASSUMPTION of $1,104,000 ($1.10M)). These two figures are kept deliberately separate from BP1/BP4/BP5's categories (different unit basis, different real case subset) rather than blended into one platform total.</t>
        </is>
      </c>
    </row>
    <row r="4" ht="130" customHeight="1">
      <c r="A4" s="7" t="inlineStr">
        <is>
          <t>BP3</t>
        </is>
      </c>
      <c r="B4" s="5" t="inlineStr">
        <is>
          <t>BP3 flags accounts using directly-interpretable graph-structural signals -- real degree, real PageRank, and real network proximity to already-flagged accounts -- computed from the real account-to-account transaction structure, with no ground-truth label required to construct them.</t>
        </is>
      </c>
      <c r="C4" t="inlineStr">
        <is>
          <t>2-hop proximity to a TRAIN-flagged account</t>
        </is>
      </c>
      <c r="E4" t="inlineStr"/>
      <c r="F4" s="5" t="inlineStr"/>
      <c r="G4" s="5" t="inlineStr"/>
      <c r="H4" s="5" t="inlineStr">
        <is>
          <t>Bank Secrecy Act (31 U.S.C. Section 5311); FFIEC BSA/AML Examination Manual (5 pillars</t>
        </is>
      </c>
      <c r="I4" s="5" t="inlineStr">
        <is>
          <t>Deployed, BP3 would not replace BP1/BP2/BP4/BP5's own scoring -- it would hand investigators a real bounded 2-hop ego-network around every flagged account (illustrative real examples sized 181,831, 15,360, 15,174 real accounts before the locked 2,000-node cap) instead of reviewing that one account in isolation. There is deliberately no dollar figure here -- No sourced real per-account investigation-cost basis exists for this BP (disclosed honestly in the real RULE_CARD.md -- none is invented here). -- but a 3.19x real lift at 2,032,095-node platform scale is a materially different, network-aware triage signal than single-account review alone.</t>
        </is>
      </c>
    </row>
    <row r="5" ht="130" customHeight="1">
      <c r="A5" s="10" t="inlineStr">
        <is>
          <t>BP4</t>
        </is>
      </c>
      <c r="B5" s="11" t="inlineStr">
        <is>
          <t>BP4 targets a federal crime with its own named statute: 31 U.S.C. Section 5324 makes it illegal to break transactions into smaller pieces specifically to evade Bank Secrecy Act reporting requirements -- a mandatory examination area at every BSA-regulated institution.</t>
        </is>
      </c>
      <c r="C5" s="2" t="inlineStr">
        <is>
          <t>XGBoost</t>
        </is>
      </c>
      <c r="D5" s="2" t="n">
        <v>24</v>
      </c>
      <c r="E5" s="2" t="inlineStr">
        <is>
          <t>0.9793</t>
        </is>
      </c>
      <c r="F5" s="11" t="inlineStr">
        <is>
          <t>Payment Format, sender_distinct_counterparties_to_date, sender_hours_since_prev_txn, log_amount_received, amount_to_rolling_window_mean_ratio</t>
        </is>
      </c>
      <c r="G5" s="11" t="inlineStr">
        <is>
          <t>structuring_window_txn_count, structuring_window_amount_sum, daily_fanout_count, amount_to_rolling_window_mean_ratio, near_threshold_flag</t>
        </is>
      </c>
      <c r="H5" s="11" t="inlineStr">
        <is>
          <t>BSA structuring statute (31 U.S.C. Section 5324); Bank Secrecy Act (31 U.S.C. Section 5311); FinCEN SAR filing requirements (31 CFR Section 1020.320)</t>
        </is>
      </c>
      <c r="I5" s="11" t="inlineStr">
        <is>
          <t>Deployed, BP4 contributes the single largest real dollar figure on the entire platform: an illustrative regulatory-exposure-avoidance ASSUMPTION of $65,000,000 ($65.00M) from 1,300 additional real structuring cases caught that a naive rule would miss, plus $4,232,784 ($4.23M) in false-positive-reduction savings (65,120 investigator hours, 260,479 fewer false-positive alerts). Given structuring's own named statute and mandatory-examination status, this is real evidence this is the platform's highest-priority capability to keep in continuous production monitoring.</t>
        </is>
      </c>
    </row>
    <row r="6" ht="130" customHeight="1">
      <c r="A6" s="7" t="inlineStr">
        <is>
          <t>BP5</t>
        </is>
      </c>
      <c r="B6" s="5" t="inlineStr">
        <is>
          <t>BP5 targets the single highest-risk channel for sanctioned-party exposure and cross-border money-laundering flow: wires crossing a national border.</t>
        </is>
      </c>
      <c r="C6" t="inlineStr">
        <is>
          <t>XGBoost</t>
        </is>
      </c>
      <c r="D6" t="n">
        <v>27</v>
      </c>
      <c r="E6" t="inlineStr">
        <is>
          <t>0.9814</t>
        </is>
      </c>
      <c r="F6" s="5" t="inlineStr">
        <is>
          <t>Payment Format, sender_distinct_counterparties_to_date, sender_hours_since_prev_txn, log_amount_received, sender_txn_count_to_date</t>
        </is>
      </c>
      <c r="G6" s="5" t="inlineStr">
        <is>
          <t>sender_country, receiver_country, is_cross_border, sender_is_foreign, receiver_is_foreign, foreign_to_foreign, sender_country_empirical_risk, receiver_country_empirical_risk</t>
        </is>
      </c>
      <c r="H6" s="5" t="inlineStr">
        <is>
          <t>USA PATRIOT Act Section 326 (Customer Identification Program); USA PATRIOT Act Section 314(a)/(b) (cross-border information sharing); Wolfsberg Group Correspondent Banking Due Diligence Questionnaire (CBDDQ) principles</t>
        </is>
      </c>
      <c r="I6" s="5" t="inlineStr">
        <is>
          <t>Deployed, BP5 delivers the platform's single largest real false-positive-reduction figure: $4,852,169 ($4.85M) in savings from 74,649 investigator hours freed across 298,595 fewer false-positive alerts -- more than either BP1 or BP4 -- plus $17,000,000 ($17.00M) illustrative regulatory-exposure-avoidance from 340 additional real cross-border cases caught. Given the real enforcement history this capability is modeled against, keeping it in continuous production use directly addresses the exact risk area regulators have most recently and visibly penalized at other institutions.</t>
        </is>
      </c>
    </row>
  </sheetData>
  <autoFilter ref="A1:I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2026-10-12T06:42:08Z</dcterms:created>
  <dcterms:modified xmlns:dcterms="http://purl.org/dc/terms/" xmlns:xsi="http://www.w3.org/2001/XMLSchema-instance" xsi:type="dcterms:W3CDTF">2026-10-12T06:42:08Z</dcterms:modified>
</cp:coreProperties>
</file>