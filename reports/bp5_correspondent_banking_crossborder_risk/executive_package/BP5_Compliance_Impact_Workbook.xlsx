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Variant Summary" sheetId="3" state="visible" r:id="rId3"/>
    <sheet xmlns:r="http://schemas.openxmlformats.org/officeDocument/2006/relationships" name="Before-After HI-Small" sheetId="4" state="visible" r:id="rId4"/>
    <sheet xmlns:r="http://schemas.openxmlformats.org/officeDocument/2006/relationships" name="Before-After LI-Medium" sheetId="5" state="visible" r:id="rId5"/>
  </sheets>
  <definedNames>
    <definedName name="hours_per_alert_review">'Assumptions'!$B$2</definedName>
    <definedName name="cost_per_investigator_hour_usd">'Assumptions'!$B$3</definedName>
    <definedName name="illustrative_case_exposure_usd">'Assumptions'!$B$4</definedName>
    <definedName name="_xlnm._FilterDatabase" localSheetId="2" hidden="1">'Variant Summary'!$A$1:$K$3</definedName>
    <definedName name="_xlnm._FilterDatabase" localSheetId="3" hidden="1">'Before-After HI-Small'!$A$1:$D$6</definedName>
    <definedName name="_xlnm._FilterDatabase" localSheetId="4" hidden="1">'Before-After LI-Medium'!$A$1:$D$6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</font>
    <font>
      <b val="1"/>
      <i val="1"/>
      <color rgb="0052514E"/>
    </font>
    <font>
      <i val="1"/>
      <color rgb="0052514E"/>
    </font>
  </fonts>
  <fills count="6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FFFF00"/>
        <bgColor rgb="00FFFF00"/>
      </patternFill>
    </fill>
    <fill>
      <patternFill patternType="solid">
        <fgColor rgb="000CA30C"/>
        <bgColor rgb="000CA30C"/>
      </patternFill>
    </fill>
    <fill>
      <patternFill patternType="solid">
        <fgColor rgb="00EEF4FC"/>
        <b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98781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Hours per alert review (ASSUMPTION)</t>
        </is>
      </c>
      <c r="B2" s="2" t="n">
        <v>0.25</v>
      </c>
    </row>
    <row r="3">
      <c r="A3" t="inlineStr">
        <is>
          <t>Cost per investigator hour, USD (ASSUMPTION)</t>
        </is>
      </c>
      <c r="B3" s="3" t="n">
        <v>65</v>
      </c>
    </row>
    <row r="4">
      <c r="A4" t="inlineStr">
        <is>
          <t>Illustrative regulatory-exposure-avoidance per case, USD (ASSUMPTION)</t>
        </is>
      </c>
      <c r="B4" s="3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CA30C"/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  <col width="26" customWidth="1" min="3" max="3"/>
  </cols>
  <sheetData>
    <row r="1">
      <c r="A1" s="1" t="inlineStr">
        <is>
          <t>Status</t>
        </is>
      </c>
      <c r="B1" s="1" t="inlineStr">
        <is>
          <t>Rationale</t>
        </is>
      </c>
    </row>
    <row r="2" ht="60" customHeight="1">
      <c r="A2" s="4" t="inlineStr">
        <is>
          <t>RECOMMENDED FOR PRODUCTION</t>
        </is>
      </c>
      <c r="B2" s="5" t="inlineStr">
        <is>
          <t>Both the structural and statistical-robustness validation gates passed on every real dataset variant evaluated (HI-Small, LI-Medium).</t>
        </is>
      </c>
    </row>
    <row r="4">
      <c r="A4" s="6" t="inlineStr">
        <is>
          <t>Financial Impact Summary (primary variant: LI-Medium, live formulas)</t>
        </is>
      </c>
      <c r="C4" s="7" t="inlineStr">
        <is>
          <t>Formatted (with B/M shorthand)</t>
        </is>
      </c>
    </row>
    <row r="5">
      <c r="A5" t="inlineStr">
        <is>
          <t>False-positive-reduction $ savings (ASSUMPTION)</t>
        </is>
      </c>
      <c r="B5" s="8">
        <f>'Before-After LI-Medium'!B8</f>
        <v/>
      </c>
      <c r="C5">
        <f>IF(ABS(B5)&gt;=1000000000,TEXT(B5/1000000000,"$0.00")&amp;"B",IF(ABS(B5)&gt;=1000000,TEXT(B5/1000000,"$0.00")&amp;"M",TEXT(B5,"$#,##0")))</f>
        <v/>
      </c>
    </row>
    <row r="6">
      <c r="A6" t="inlineStr">
        <is>
          <t>True-positive-uplift illustrative $ (ASSUMPTION)</t>
        </is>
      </c>
      <c r="B6" s="8">
        <f>'Before-After LI-Medium'!B9</f>
        <v/>
      </c>
      <c r="C6">
        <f>IF(ABS(B6)&gt;=1000000000,TEXT(B6/1000000000,"$0.00")&amp;"B",IF(ABS(B6)&gt;=1000000,TEXT(B6/1000000,"$0.00")&amp;"M",TEXT(B6,"$#,##0")))</f>
        <v/>
      </c>
    </row>
    <row r="7">
      <c r="A7" s="9" t="inlineStr">
        <is>
          <t>Note: the two figures above are never summed into one blended total (locked Section 7A policy).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Variant</t>
        </is>
      </c>
      <c r="B1" s="1" t="inlineStr">
        <is>
          <t>Champion</t>
        </is>
      </c>
      <c r="C1" s="1" t="inlineStr">
        <is>
          <t>Test PR-AUC</t>
        </is>
      </c>
      <c r="D1" s="1" t="inlineStr">
        <is>
          <t>Random Baseline PR-AUC</t>
        </is>
      </c>
      <c r="E1" s="1" t="inlineStr">
        <is>
          <t>Lift (x)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F2</t>
        </is>
      </c>
      <c r="I1" s="1" t="inlineStr">
        <is>
          <t>Gate 1</t>
        </is>
      </c>
      <c r="J1" s="1" t="inlineStr">
        <is>
          <t>Gate 2</t>
        </is>
      </c>
      <c r="K1" s="1" t="inlineStr">
        <is>
          <t>Overall Verdict</t>
        </is>
      </c>
    </row>
    <row r="2">
      <c r="A2" t="inlineStr">
        <is>
          <t>HI-Small</t>
        </is>
      </c>
      <c r="B2" t="inlineStr">
        <is>
          <t>XGBoost</t>
        </is>
      </c>
      <c r="C2" t="n">
        <v>0.4306098240209779</v>
      </c>
      <c r="D2" t="n">
        <v>0.001019229087884485</v>
      </c>
      <c r="E2">
        <f>C2/D2</f>
        <v/>
      </c>
      <c r="F2" t="n">
        <v>0.3935040599625234</v>
      </c>
      <c r="G2" t="n">
        <v>0.4868624420401855</v>
      </c>
      <c r="H2" t="n">
        <v>0.4648074369189907</v>
      </c>
      <c r="I2" s="10" t="inlineStr">
        <is>
          <t>PASS</t>
        </is>
      </c>
      <c r="J2" s="10" t="inlineStr">
        <is>
          <t>PASS</t>
        </is>
      </c>
      <c r="K2" s="10" t="inlineStr">
        <is>
          <t>PASS</t>
        </is>
      </c>
    </row>
    <row r="3">
      <c r="A3" s="11" t="inlineStr">
        <is>
          <t>LI-Medium</t>
        </is>
      </c>
      <c r="B3" s="11" t="inlineStr">
        <is>
          <t>XGBoost</t>
        </is>
      </c>
      <c r="C3" s="11" t="n">
        <v>0.1398828521421879</v>
      </c>
      <c r="D3" s="11" t="n">
        <v>0.0005132556265168079</v>
      </c>
      <c r="E3" s="11">
        <f>C3/D3</f>
        <v/>
      </c>
      <c r="F3" s="11" t="n">
        <v>0.1762728146013449</v>
      </c>
      <c r="G3" s="11" t="n">
        <v>0.1830423940149626</v>
      </c>
      <c r="H3" s="11" t="n">
        <v>0.1816471985745397</v>
      </c>
      <c r="I3" s="10" t="inlineStr">
        <is>
          <t>PASS</t>
        </is>
      </c>
      <c r="J3" s="10" t="inlineStr">
        <is>
          <t>PASS</t>
        </is>
      </c>
      <c r="K3" s="10" t="inlineStr">
        <is>
          <t>PASS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AF7A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(ML model)</t>
        </is>
      </c>
      <c r="D1" s="1" t="inlineStr">
        <is>
          <t>Delta</t>
        </is>
      </c>
    </row>
    <row r="2">
      <c r="A2" t="inlineStr">
        <is>
          <t>Precision</t>
        </is>
      </c>
      <c r="B2" t="n">
        <v>0.001398078134845621</v>
      </c>
      <c r="C2" t="n">
        <v>0.3935040599625234</v>
      </c>
      <c r="D2">
        <f>C2-B2</f>
        <v/>
      </c>
    </row>
    <row r="3">
      <c r="A3" s="11" t="inlineStr">
        <is>
          <t>Recall</t>
        </is>
      </c>
      <c r="B3" s="11" t="n">
        <v>0.01371450647092911</v>
      </c>
      <c r="C3" s="11" t="n">
        <v>0.4868624420401855</v>
      </c>
      <c r="D3" s="11">
        <f>C3-B3</f>
        <v/>
      </c>
    </row>
    <row r="4">
      <c r="A4" t="inlineStr">
        <is>
          <t>Alerts flagged</t>
        </is>
      </c>
      <c r="B4" t="n">
        <v>50784</v>
      </c>
      <c r="C4" t="n">
        <v>6404</v>
      </c>
      <c r="D4">
        <f>C4-B4</f>
        <v/>
      </c>
    </row>
    <row r="5">
      <c r="A5" s="11" t="inlineStr">
        <is>
          <t>False positives (real, implied)</t>
        </is>
      </c>
      <c r="B5" s="11" t="n">
        <v>50713</v>
      </c>
      <c r="C5" s="11" t="n">
        <v>3884</v>
      </c>
      <c r="D5" s="11">
        <f>C5-B5</f>
        <v/>
      </c>
    </row>
    <row r="6">
      <c r="A6" t="inlineStr">
        <is>
          <t>True positives caught (real, implied)</t>
        </is>
      </c>
      <c r="B6" t="n">
        <v>71</v>
      </c>
      <c r="C6" t="n">
        <v>1227</v>
      </c>
      <c r="D6">
        <f>C6-B6</f>
        <v/>
      </c>
    </row>
    <row r="7">
      <c r="C7" s="9" t="inlineStr">
        <is>
          <t>Formatted (with B/M shorthand)</t>
        </is>
      </c>
    </row>
    <row r="8">
      <c r="A8" t="inlineStr">
        <is>
          <t>False-positive-reduction $ savings (ASSUMPTION, live formula)</t>
        </is>
      </c>
      <c r="B8" s="8">
        <f>D5*-1*hours_per_alert_review*cost_per_investigator_hour_usd</f>
        <v/>
      </c>
      <c r="C8">
        <f>IF(ABS(B8)&gt;=1000000000,TEXT(B8/1000000000,"$0.00")&amp;"B",IF(ABS(B8)&gt;=1000000,TEXT(B8/1000000,"$0.00")&amp;"M",TEXT(B8,"$#,##0")))</f>
        <v/>
      </c>
    </row>
    <row r="9">
      <c r="A9" t="inlineStr">
        <is>
          <t>True-positive-uplift $ (illustrative, ASSUMPTION, live formula)</t>
        </is>
      </c>
      <c r="B9" s="8">
        <f>D6*illustrative_case_exposure_usd</f>
        <v/>
      </c>
      <c r="C9">
        <f>IF(ABS(B9)&gt;=1000000000,TEXT(B9/1000000000,"$0.00")&amp;"B",IF(ABS(B9)&gt;=1000000,TEXT(B9/1000000,"$0.00")&amp;"M",TEXT(B9,"$#,##0")))</f>
        <v/>
      </c>
    </row>
    <row r="11">
      <c r="A11" t="inlineStr">
        <is>
          <t>Note: the two $ lines above are never summed into one blended figure (locked project rule, Section 7A).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AF7A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(ML model)</t>
        </is>
      </c>
      <c r="D1" s="1" t="inlineStr">
        <is>
          <t>Delta</t>
        </is>
      </c>
    </row>
    <row r="2">
      <c r="A2" t="inlineStr">
        <is>
          <t>Precision</t>
        </is>
      </c>
      <c r="B2" t="n">
        <v>0.0006303757935695269</v>
      </c>
      <c r="C2" t="n">
        <v>0.1762728146013449</v>
      </c>
      <c r="D2">
        <f>C2-B2</f>
        <v/>
      </c>
    </row>
    <row r="3">
      <c r="A3" s="11" t="inlineStr">
        <is>
          <t>Recall</t>
        </is>
      </c>
      <c r="B3" s="11" t="n">
        <v>0.01228102986098123</v>
      </c>
      <c r="C3" s="11" t="n">
        <v>0.1830423940149626</v>
      </c>
      <c r="D3" s="11">
        <f>C3-B3</f>
        <v/>
      </c>
    </row>
    <row r="4">
      <c r="A4" t="inlineStr">
        <is>
          <t>Alerts flagged</t>
        </is>
      </c>
      <c r="B4" t="n">
        <v>312512</v>
      </c>
      <c r="C4" t="n">
        <v>16656</v>
      </c>
      <c r="D4">
        <f>C4-B4</f>
        <v/>
      </c>
    </row>
    <row r="5">
      <c r="A5" s="11" t="inlineStr">
        <is>
          <t>False positives (real, implied)</t>
        </is>
      </c>
      <c r="B5" s="11" t="n">
        <v>312315</v>
      </c>
      <c r="C5" s="11" t="n">
        <v>13720</v>
      </c>
      <c r="D5" s="11">
        <f>C5-B5</f>
        <v/>
      </c>
    </row>
    <row r="6">
      <c r="A6" t="inlineStr">
        <is>
          <t>True positives caught (real, implied)</t>
        </is>
      </c>
      <c r="B6" t="n">
        <v>197</v>
      </c>
      <c r="C6" t="n">
        <v>537</v>
      </c>
      <c r="D6">
        <f>C6-B6</f>
        <v/>
      </c>
    </row>
    <row r="7">
      <c r="C7" s="9" t="inlineStr">
        <is>
          <t>Formatted (with B/M shorthand)</t>
        </is>
      </c>
    </row>
    <row r="8">
      <c r="A8" t="inlineStr">
        <is>
          <t>False-positive-reduction $ savings (ASSUMPTION, live formula)</t>
        </is>
      </c>
      <c r="B8" s="8">
        <f>D5*-1*hours_per_alert_review*cost_per_investigator_hour_usd</f>
        <v/>
      </c>
      <c r="C8">
        <f>IF(ABS(B8)&gt;=1000000000,TEXT(B8/1000000000,"$0.00")&amp;"B",IF(ABS(B8)&gt;=1000000,TEXT(B8/1000000,"$0.00")&amp;"M",TEXT(B8,"$#,##0")))</f>
        <v/>
      </c>
    </row>
    <row r="9">
      <c r="A9" t="inlineStr">
        <is>
          <t>True-positive-uplift $ (illustrative, ASSUMPTION, live formula)</t>
        </is>
      </c>
      <c r="B9" s="8">
        <f>D6*illustrative_case_exposure_usd</f>
        <v/>
      </c>
      <c r="C9">
        <f>IF(ABS(B9)&gt;=1000000000,TEXT(B9/1000000000,"$0.00")&amp;"B",IF(ABS(B9)&gt;=1000000,TEXT(B9/1000000,"$0.00")&amp;"M",TEXT(B9,"$#,##0")))</f>
        <v/>
      </c>
    </row>
    <row r="11">
      <c r="A11" t="inlineStr">
        <is>
          <t>Note: the two $ lines above are never summed into one blended figure (locked project rule, Section 7A).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2026-10-02T11:30:18Z</dcterms:created>
  <dcterms:modified xmlns:dcterms="http://purl.org/dc/terms/" xmlns:xsi="http://www.w3.org/2001/XMLSchema-instance" xsi:type="dcterms:W3CDTF">2026-10-02T11:30:18Z</dcterms:modified>
</cp:coreProperties>
</file>