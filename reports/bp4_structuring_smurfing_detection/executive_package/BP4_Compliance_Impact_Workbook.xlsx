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ariant Summary" sheetId="3" state="visible" r:id="rId3"/>
    <sheet xmlns:r="http://schemas.openxmlformats.org/officeDocument/2006/relationships" name="Before-After HI-Small" sheetId="4" state="visible" r:id="rId4"/>
    <sheet xmlns:r="http://schemas.openxmlformats.org/officeDocument/2006/relationships" name="Before-After LI-Medium" sheetId="5" state="visible" r:id="rId5"/>
  </sheets>
  <definedNames>
    <definedName name="hours_per_alert_review">'Assumptions'!$B$2</definedName>
    <definedName name="cost_per_investigator_hour_usd">'Assumptions'!$B$3</definedName>
    <definedName name="illustrative_case_exposure_usd">'Assumptions'!$B$4</definedName>
    <definedName name="_xlnm._FilterDatabase" localSheetId="2" hidden="1">'Variant Summary'!$A$1:$K$3</definedName>
    <definedName name="_xlnm._FilterDatabase" localSheetId="3" hidden="1">'Before-After HI-Small'!$A$1:$D$6</definedName>
    <definedName name="_xlnm._FilterDatabase" localSheetId="4" hidden="1">'Before-After LI-Medium'!$A$1:$D$6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  <font>
      <b val="1"/>
      <i val="1"/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FFF00"/>
        <bgColor rgb="00FFFF00"/>
      </patternFill>
    </fill>
    <fill>
      <patternFill patternType="solid">
        <fgColor rgb="000CA30C"/>
        <bgColor rgb="000CA30C"/>
      </patternFill>
    </fill>
    <fill>
      <patternFill patternType="solid">
        <fgColor rgb="00EEF4FC"/>
        <b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98781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Hours per alert review (ASSUMPTION)</t>
        </is>
      </c>
      <c r="B2" s="2" t="n">
        <v>0.25</v>
      </c>
    </row>
    <row r="3">
      <c r="A3" t="inlineStr">
        <is>
          <t>Cost per investigator hour, USD (ASSUMPTION)</t>
        </is>
      </c>
      <c r="B3" s="3" t="n">
        <v>65</v>
      </c>
    </row>
    <row r="4">
      <c r="A4" t="inlineStr">
        <is>
          <t>Illustrative regulatory-exposure-avoidance per case, USD (ASSUMPTION)</t>
        </is>
      </c>
      <c r="B4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A30C"/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26" customWidth="1" min="3" max="3"/>
  </cols>
  <sheetData>
    <row r="1">
      <c r="A1" s="1" t="inlineStr">
        <is>
          <t>Status</t>
        </is>
      </c>
      <c r="B1" s="1" t="inlineStr">
        <is>
          <t>Rationale</t>
        </is>
      </c>
    </row>
    <row r="2" ht="60" customHeight="1">
      <c r="A2" s="4" t="inlineStr">
        <is>
          <t>RECOMMENDED FOR PRODUCTION</t>
        </is>
      </c>
      <c r="B2" s="5" t="inlineStr">
        <is>
          <t>Both the structural and statistical-robustness validation gates passed on every real dataset variant evaluated (HI-Small, LI-Medium).</t>
        </is>
      </c>
    </row>
    <row r="4">
      <c r="A4" s="6" t="inlineStr">
        <is>
          <t>Financial Impact Summary (primary variant: LI-Medium, live formulas)</t>
        </is>
      </c>
      <c r="C4" s="7" t="inlineStr">
        <is>
          <t>Formatted (with B/M shorthand)</t>
        </is>
      </c>
    </row>
    <row r="5">
      <c r="A5" t="inlineStr">
        <is>
          <t>False-positive-reduction $ savings (ASSUMPTION)</t>
        </is>
      </c>
      <c r="B5" s="8">
        <f>'Before-After LI-Medium'!B8</f>
        <v/>
      </c>
      <c r="C5">
        <f>IF(ABS(B5)&gt;=1000000000,TEXT(B5/1000000000,"$0.00")&amp;"B",IF(ABS(B5)&gt;=1000000,TEXT(B5/1000000,"$0.00")&amp;"M",TEXT(B5,"$#,##0")))</f>
        <v/>
      </c>
    </row>
    <row r="6">
      <c r="A6" t="inlineStr">
        <is>
          <t>True-positive-uplift illustrative $ (ASSUMPTION)</t>
        </is>
      </c>
      <c r="B6" s="8">
        <f>'Before-After LI-Medium'!B9</f>
        <v/>
      </c>
      <c r="C6">
        <f>IF(ABS(B6)&gt;=1000000000,TEXT(B6/1000000000,"$0.00")&amp;"B",IF(ABS(B6)&gt;=1000000,TEXT(B6/1000000,"$0.00")&amp;"M",TEXT(B6,"$#,##0")))</f>
        <v/>
      </c>
    </row>
    <row r="7">
      <c r="A7" s="9" t="inlineStr">
        <is>
          <t>Note: the two figures above are never summed into one blended total (locked Section 7A policy).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Variant</t>
        </is>
      </c>
      <c r="B1" s="1" t="inlineStr">
        <is>
          <t>Champion</t>
        </is>
      </c>
      <c r="C1" s="1" t="inlineStr">
        <is>
          <t>Test PR-AUC</t>
        </is>
      </c>
      <c r="D1" s="1" t="inlineStr">
        <is>
          <t>Random Baseline PR-AUC</t>
        </is>
      </c>
      <c r="E1" s="1" t="inlineStr">
        <is>
          <t>Lift (x)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F2</t>
        </is>
      </c>
      <c r="I1" s="1" t="inlineStr">
        <is>
          <t>Gate 1</t>
        </is>
      </c>
      <c r="J1" s="1" t="inlineStr">
        <is>
          <t>Gate 2</t>
        </is>
      </c>
      <c r="K1" s="1" t="inlineStr">
        <is>
          <t>Overall Verdict</t>
        </is>
      </c>
    </row>
    <row r="2">
      <c r="A2" t="inlineStr">
        <is>
          <t>HI-Small</t>
        </is>
      </c>
      <c r="B2" t="inlineStr">
        <is>
          <t>XGBoost</t>
        </is>
      </c>
      <c r="C2" t="n">
        <v>0.4387199253629387</v>
      </c>
      <c r="D2" t="n">
        <v>0.001019229087884485</v>
      </c>
      <c r="E2">
        <f>C2/D2</f>
        <v/>
      </c>
      <c r="F2" t="n">
        <v>0.3253731343283582</v>
      </c>
      <c r="G2" t="n">
        <v>0.5054095826893354</v>
      </c>
      <c r="H2" t="n">
        <v>0.4550514890064014</v>
      </c>
      <c r="I2" s="10" t="inlineStr">
        <is>
          <t>PASS</t>
        </is>
      </c>
      <c r="J2" s="10" t="inlineStr">
        <is>
          <t>PASS</t>
        </is>
      </c>
      <c r="K2" s="10" t="inlineStr">
        <is>
          <t>PASS</t>
        </is>
      </c>
    </row>
    <row r="3">
      <c r="A3" s="11" t="inlineStr">
        <is>
          <t>LI-Medium</t>
        </is>
      </c>
      <c r="B3" s="11" t="inlineStr">
        <is>
          <t>XGBoost</t>
        </is>
      </c>
      <c r="C3" s="11" t="n">
        <v>0.1252898333577016</v>
      </c>
      <c r="D3" s="11" t="n">
        <v>0.0005132556265168079</v>
      </c>
      <c r="E3" s="11">
        <f>C3/D3</f>
        <v/>
      </c>
      <c r="F3" s="11" t="n">
        <v>0.0863649182177101</v>
      </c>
      <c r="G3" s="11" t="n">
        <v>0.3054862842892768</v>
      </c>
      <c r="H3" s="11" t="n">
        <v>0.2026535203811541</v>
      </c>
      <c r="I3" s="10" t="inlineStr">
        <is>
          <t>PASS</t>
        </is>
      </c>
      <c r="J3" s="10" t="inlineStr">
        <is>
          <t>PASS</t>
        </is>
      </c>
      <c r="K3" s="10" t="inlineStr">
        <is>
          <t>PASS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0.001398078134845621</v>
      </c>
      <c r="C2" t="n">
        <v>0.3253731343283582</v>
      </c>
      <c r="D2">
        <f>C2-B2</f>
        <v/>
      </c>
    </row>
    <row r="3">
      <c r="A3" s="11" t="inlineStr">
        <is>
          <t>Recall</t>
        </is>
      </c>
      <c r="B3" s="11" t="n">
        <v>0.01371450647092911</v>
      </c>
      <c r="C3" s="11" t="n">
        <v>0.5054095826893354</v>
      </c>
      <c r="D3" s="11">
        <f>C3-B3</f>
        <v/>
      </c>
    </row>
    <row r="4">
      <c r="A4" t="inlineStr">
        <is>
          <t>Alerts flagged</t>
        </is>
      </c>
      <c r="B4" t="n">
        <v>50784</v>
      </c>
      <c r="C4" t="n">
        <v>8043</v>
      </c>
      <c r="D4">
        <f>C4-B4</f>
        <v/>
      </c>
    </row>
    <row r="5">
      <c r="A5" s="11" t="inlineStr">
        <is>
          <t>False positives (real, implied)</t>
        </is>
      </c>
      <c r="B5" s="11" t="n">
        <v>50713</v>
      </c>
      <c r="C5" s="11" t="n">
        <v>5426</v>
      </c>
      <c r="D5" s="11">
        <f>C5-B5</f>
        <v/>
      </c>
    </row>
    <row r="6">
      <c r="A6" t="inlineStr">
        <is>
          <t>True positives caught (real, implied)</t>
        </is>
      </c>
      <c r="B6" t="n">
        <v>71</v>
      </c>
      <c r="C6" t="n">
        <v>1323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AF7A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0.0006303757935695269</v>
      </c>
      <c r="C2" t="n">
        <v>0.0863649182177101</v>
      </c>
      <c r="D2">
        <f>C2-B2</f>
        <v/>
      </c>
    </row>
    <row r="3">
      <c r="A3" s="11" t="inlineStr">
        <is>
          <t>Recall</t>
        </is>
      </c>
      <c r="B3" s="11" t="n">
        <v>0.01228102986098123</v>
      </c>
      <c r="C3" s="11" t="n">
        <v>0.3054862842892768</v>
      </c>
      <c r="D3" s="11">
        <f>C3-B3</f>
        <v/>
      </c>
    </row>
    <row r="4">
      <c r="A4" t="inlineStr">
        <is>
          <t>Alerts flagged</t>
        </is>
      </c>
      <c r="B4" t="n">
        <v>312512</v>
      </c>
      <c r="C4" t="n">
        <v>56736</v>
      </c>
      <c r="D4">
        <f>C4-B4</f>
        <v/>
      </c>
    </row>
    <row r="5">
      <c r="A5" s="11" t="inlineStr">
        <is>
          <t>False positives (real, implied)</t>
        </is>
      </c>
      <c r="B5" s="11" t="n">
        <v>312315</v>
      </c>
      <c r="C5" s="11" t="n">
        <v>51836</v>
      </c>
      <c r="D5" s="11">
        <f>C5-B5</f>
        <v/>
      </c>
    </row>
    <row r="6">
      <c r="A6" t="inlineStr">
        <is>
          <t>True positives caught (real, implied)</t>
        </is>
      </c>
      <c r="B6" t="n">
        <v>197</v>
      </c>
      <c r="C6" t="n">
        <v>1497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2026-10-01T18:07:53Z</dcterms:created>
  <dcterms:modified xmlns:dcterms="http://purl.org/dc/terms/" xmlns:xsi="http://www.w3.org/2001/XMLSchema-instance" xsi:type="dcterms:W3CDTF">2026-10-01T18:07:53Z</dcterms:modified>
</cp:coreProperties>
</file>